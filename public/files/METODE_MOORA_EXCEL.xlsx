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di\Documents\Unpam\Tugas\Kelompok\SPK\"/>
    </mc:Choice>
  </mc:AlternateContent>
  <xr:revisionPtr revIDLastSave="0" documentId="8_{4123E906-0509-4781-B72F-145A7907D8C8}" xr6:coauthVersionLast="47" xr6:coauthVersionMax="47" xr10:uidLastSave="{00000000-0000-0000-0000-000000000000}"/>
  <bookViews>
    <workbookView xWindow="-120" yWindow="-120" windowWidth="20730" windowHeight="11040" xr2:uid="{C4D205A3-F4B4-4D6E-A5BC-D2B3D94B0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36" i="1"/>
  <c r="F37" i="1"/>
  <c r="F34" i="1"/>
  <c r="E35" i="1"/>
  <c r="E36" i="1"/>
  <c r="E37" i="1"/>
  <c r="E34" i="1"/>
  <c r="D35" i="1"/>
  <c r="D36" i="1"/>
  <c r="D37" i="1"/>
  <c r="D34" i="1"/>
  <c r="C34" i="1"/>
  <c r="C35" i="1"/>
  <c r="C36" i="1"/>
  <c r="C37" i="1"/>
  <c r="G20" i="1"/>
  <c r="F20" i="1"/>
  <c r="E20" i="1"/>
  <c r="D20" i="1"/>
  <c r="C20" i="1"/>
  <c r="G18" i="1"/>
  <c r="G25" i="1" s="1"/>
  <c r="E18" i="1"/>
  <c r="E25" i="1" s="1"/>
  <c r="D18" i="1"/>
  <c r="D25" i="1" s="1"/>
  <c r="C31" i="1" s="1"/>
  <c r="C18" i="1"/>
  <c r="C25" i="1" s="1"/>
  <c r="D13" i="1"/>
  <c r="D15" i="1" s="1"/>
  <c r="E13" i="1"/>
  <c r="E15" i="1" s="1"/>
  <c r="E22" i="1" s="1"/>
  <c r="F13" i="1"/>
  <c r="F15" i="1" s="1"/>
  <c r="F22" i="1" s="1"/>
  <c r="G13" i="1"/>
  <c r="G15" i="1" s="1"/>
  <c r="G22" i="1" s="1"/>
  <c r="C13" i="1"/>
  <c r="C15" i="1" s="1"/>
  <c r="C22" i="1" s="1"/>
  <c r="D28" i="1" l="1"/>
  <c r="D22" i="1"/>
  <c r="C28" i="1" s="1"/>
  <c r="E28" i="1" s="1"/>
  <c r="C17" i="1"/>
  <c r="C24" i="1" s="1"/>
  <c r="D30" i="1" s="1"/>
  <c r="D17" i="1"/>
  <c r="D24" i="1" s="1"/>
  <c r="E17" i="1"/>
  <c r="E24" i="1" s="1"/>
  <c r="F17" i="1"/>
  <c r="F24" i="1" s="1"/>
  <c r="G17" i="1"/>
  <c r="G24" i="1" s="1"/>
  <c r="C16" i="1"/>
  <c r="C23" i="1" s="1"/>
  <c r="D29" i="1" s="1"/>
  <c r="D16" i="1"/>
  <c r="D23" i="1" s="1"/>
  <c r="C29" i="1" s="1"/>
  <c r="E29" i="1" s="1"/>
  <c r="E16" i="1"/>
  <c r="E23" i="1" s="1"/>
  <c r="F16" i="1"/>
  <c r="F23" i="1" s="1"/>
  <c r="G16" i="1"/>
  <c r="G23" i="1" s="1"/>
  <c r="F18" i="1"/>
  <c r="F25" i="1" s="1"/>
  <c r="D31" i="1" s="1"/>
  <c r="E31" i="1" s="1"/>
  <c r="F28" i="1" l="1"/>
  <c r="C30" i="1"/>
  <c r="E30" i="1" s="1"/>
  <c r="F30" i="1" s="1"/>
  <c r="F29" i="1"/>
  <c r="F31" i="1" l="1"/>
</calcChain>
</file>

<file path=xl/sharedStrings.xml><?xml version="1.0" encoding="utf-8"?>
<sst xmlns="http://schemas.openxmlformats.org/spreadsheetml/2006/main" count="39" uniqueCount="22">
  <si>
    <t>ALTERNATIF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</si>
  <si>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</si>
  <si>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</si>
  <si>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</si>
  <si>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</si>
  <si>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</si>
  <si>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</si>
  <si>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</si>
  <si>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</si>
  <si>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</si>
  <si>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C5</t>
  </si>
  <si>
    <t>KRITERIA</t>
  </si>
  <si>
    <t>OPTIMUM</t>
  </si>
  <si>
    <t>MIN</t>
  </si>
  <si>
    <t>MAX</t>
  </si>
  <si>
    <t>PEMBAGI</t>
  </si>
  <si>
    <t>BOBOT</t>
  </si>
  <si>
    <t>OPTIMASI ATRIBUT</t>
  </si>
  <si>
    <t>MAXIMUM</t>
  </si>
  <si>
    <t>MINIMUM</t>
  </si>
  <si>
    <t>Yi (Max-Min)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</si>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</sst>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16</xdr:row>
      <xdr:rowOff>4762</xdr:rowOff>
    </xdr:from>
    <xdr:ext cx="210442" cy="1831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12167DA-97EE-CE69-A032-6B0CBE1277D5}"/>
                </a:ext>
              </a:extLst>
            </xdr:cNvPr>
            <xdr:cNvSpPr txBox="1"/>
          </xdr:nvSpPr>
          <xdr:spPr>
            <a:xfrm>
              <a:off x="1657350" y="3052762"/>
              <a:ext cx="21044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12167DA-97EE-CE69-A032-6B0CBE1277D5}"/>
                </a:ext>
              </a:extLst>
            </xdr:cNvPr>
            <xdr:cNvSpPr txBox="1"/>
          </xdr:nvSpPr>
          <xdr:spPr>
            <a:xfrm>
              <a:off x="1657350" y="3052762"/>
              <a:ext cx="21044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en-ID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𝑖𝑗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7</xdr:col>
      <xdr:colOff>371474</xdr:colOff>
      <xdr:row>14</xdr:row>
      <xdr:rowOff>57149</xdr:rowOff>
    </xdr:from>
    <xdr:ext cx="2181226" cy="66922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75FC3CA-9EA7-4D9E-9235-BAF1874FDCFB}"/>
                </a:ext>
              </a:extLst>
            </xdr:cNvPr>
            <xdr:cNvSpPr txBox="1"/>
          </xdr:nvSpPr>
          <xdr:spPr>
            <a:xfrm>
              <a:off x="6848474" y="2724149"/>
              <a:ext cx="2181226" cy="6692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ID" sz="24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𝑖𝑗</m:t>
                      </m:r>
                    </m:sub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ID" sz="2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ID" sz="2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ID" sz="2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4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n-US" sz="2400" b="0" i="1">
                              <a:latin typeface="Cambria Math" panose="02040503050406030204" pitchFamily="18" charset="0"/>
                            </a:rPr>
                            <m:t>𝑖𝑗</m:t>
                          </m:r>
                        </m:sub>
                      </m:sSub>
                    </m:num>
                    <m:den>
                      <m:rad>
                        <m:radPr>
                          <m:degHide m:val="on"/>
                          <m:ctrlPr>
                            <a:rPr lang="en-ID" sz="2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2400" b="0" i="1">
                              <a:latin typeface="Cambria Math" panose="02040503050406030204" pitchFamily="18" charset="0"/>
                            </a:rPr>
                            <m:t>(</m:t>
                          </m:r>
                        </m:e>
                      </m:rad>
                      <m:nary>
                        <m:naryPr>
                          <m:chr m:val="∑"/>
                          <m:limLoc m:val="subSup"/>
                          <m:ctrlPr>
                            <a:rPr lang="en-ID" sz="2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5"/>
                            </m:rPr>
                            <a:rPr lang="en-US" sz="24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en-US" sz="2400" b="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en-US" sz="2400" b="0" i="1">
                              <a:latin typeface="Cambria Math" panose="02040503050406030204" pitchFamily="18" charset="0"/>
                            </a:rPr>
                            <m:t>𝑚</m:t>
                          </m:r>
                        </m:sup>
                        <m:e>
                          <m:sSubSup>
                            <m:sSubSupPr>
                              <m:ctrlPr>
                                <a:rPr lang="en-ID" sz="2400" i="1">
                                  <a:latin typeface="Cambria Math" panose="02040503050406030204" pitchFamily="18" charset="0"/>
                                </a:rPr>
                              </m:ctrlPr>
                            </m:sSubSupPr>
                            <m:e>
                              <m:r>
                                <a:rPr lang="en-US" sz="2400" b="0" i="1">
                                  <a:latin typeface="Cambria Math" panose="02040503050406030204" pitchFamily="18" charset="0"/>
                                </a:rPr>
                                <m:t>𝑋</m:t>
                              </m:r>
                            </m:e>
                            <m:sub>
                              <m:r>
                                <a:rPr lang="en-US" sz="2400" b="0" i="1">
                                  <a:latin typeface="Cambria Math" panose="02040503050406030204" pitchFamily="18" charset="0"/>
                                </a:rPr>
                                <m:t>𝑖𝑗</m:t>
                              </m:r>
                            </m:sub>
                            <m:sup>
                              <m:r>
                                <a:rPr lang="en-US" sz="24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bSup>
                        </m:e>
                      </m:nary>
                    </m:den>
                  </m:f>
                </m:oMath>
              </a14:m>
              <a:endParaRPr lang="en-ID" sz="24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75FC3CA-9EA7-4D9E-9235-BAF1874FDCFB}"/>
                </a:ext>
              </a:extLst>
            </xdr:cNvPr>
            <xdr:cNvSpPr txBox="1"/>
          </xdr:nvSpPr>
          <xdr:spPr>
            <a:xfrm>
              <a:off x="6848474" y="2724149"/>
              <a:ext cx="2181226" cy="6692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𝑋</a:t>
              </a:r>
              <a:r>
                <a:rPr lang="en-ID" sz="2400" b="0" i="0">
                  <a:latin typeface="Cambria Math" panose="02040503050406030204" pitchFamily="18" charset="0"/>
                </a:rPr>
                <a:t>_</a:t>
              </a:r>
              <a:r>
                <a:rPr lang="en-US" sz="2400" b="0" i="0">
                  <a:latin typeface="Cambria Math" panose="02040503050406030204" pitchFamily="18" charset="0"/>
                </a:rPr>
                <a:t>𝑖𝑗</a:t>
              </a:r>
              <a:r>
                <a:rPr lang="en-ID" sz="2400" b="0" i="0">
                  <a:latin typeface="Cambria Math" panose="02040503050406030204" pitchFamily="18" charset="0"/>
                </a:rPr>
                <a:t>^</a:t>
              </a:r>
              <a:r>
                <a:rPr lang="en-US" sz="2400" b="0" i="0">
                  <a:latin typeface="Cambria Math" panose="02040503050406030204" pitchFamily="18" charset="0"/>
                </a:rPr>
                <a:t>∗</a:t>
              </a:r>
              <a:r>
                <a:rPr lang="en-ID" sz="2400"/>
                <a:t>=</a:t>
              </a:r>
              <a:r>
                <a:rPr lang="en-US" sz="2400" b="0" i="0">
                  <a:latin typeface="Cambria Math" panose="02040503050406030204" pitchFamily="18" charset="0"/>
                </a:rPr>
                <a:t>𝑋</a:t>
              </a:r>
              <a:r>
                <a:rPr lang="en-ID" sz="2400" b="0" i="0">
                  <a:latin typeface="Cambria Math" panose="02040503050406030204" pitchFamily="18" charset="0"/>
                </a:rPr>
                <a:t>_</a:t>
              </a:r>
              <a:r>
                <a:rPr lang="en-US" sz="2400" b="0" i="0">
                  <a:latin typeface="Cambria Math" panose="02040503050406030204" pitchFamily="18" charset="0"/>
                </a:rPr>
                <a:t>𝑖𝑗</a:t>
              </a:r>
              <a:r>
                <a:rPr lang="en-ID" sz="2400" b="0" i="0">
                  <a:latin typeface="Cambria Math" panose="02040503050406030204" pitchFamily="18" charset="0"/>
                </a:rPr>
                <a:t>/(√(</a:t>
              </a:r>
              <a:r>
                <a:rPr lang="en-US" sz="2400" b="0" i="0">
                  <a:latin typeface="Cambria Math" panose="02040503050406030204" pitchFamily="18" charset="0"/>
                </a:rPr>
                <a:t>(</a:t>
              </a:r>
              <a:r>
                <a:rPr lang="en-ID" sz="2400" b="0" i="0">
                  <a:latin typeface="Cambria Math" panose="02040503050406030204" pitchFamily="18" charset="0"/>
                </a:rPr>
                <a:t>) ∑26_(</a:t>
              </a:r>
              <a:r>
                <a:rPr lang="en-US" sz="2400" b="0" i="0">
                  <a:latin typeface="Cambria Math" panose="02040503050406030204" pitchFamily="18" charset="0"/>
                </a:rPr>
                <a:t>𝑖=1</a:t>
              </a:r>
              <a:r>
                <a:rPr lang="en-ID" sz="2400" b="0" i="0">
                  <a:latin typeface="Cambria Math" panose="02040503050406030204" pitchFamily="18" charset="0"/>
                </a:rPr>
                <a:t>)^</a:t>
              </a:r>
              <a:r>
                <a:rPr lang="en-US" sz="2400" b="0" i="0">
                  <a:latin typeface="Cambria Math" panose="02040503050406030204" pitchFamily="18" charset="0"/>
                </a:rPr>
                <a:t>𝑚</a:t>
              </a:r>
              <a:r>
                <a:rPr lang="en-ID" sz="2400" b="0" i="0">
                  <a:latin typeface="Cambria Math" panose="02040503050406030204" pitchFamily="18" charset="0"/>
                </a:rPr>
                <a:t>▒</a:t>
              </a:r>
              <a:r>
                <a:rPr lang="en-US" sz="2400" b="0" i="0">
                  <a:latin typeface="Cambria Math" panose="02040503050406030204" pitchFamily="18" charset="0"/>
                </a:rPr>
                <a:t>𝑋</a:t>
              </a:r>
              <a:r>
                <a:rPr lang="en-ID" sz="2400" b="0" i="0">
                  <a:latin typeface="Cambria Math" panose="02040503050406030204" pitchFamily="18" charset="0"/>
                </a:rPr>
                <a:t>_</a:t>
              </a:r>
              <a:r>
                <a:rPr lang="en-US" sz="2400" b="0" i="0">
                  <a:latin typeface="Cambria Math" panose="02040503050406030204" pitchFamily="18" charset="0"/>
                </a:rPr>
                <a:t>𝑖𝑗</a:t>
              </a:r>
              <a:r>
                <a:rPr lang="en-ID" sz="2400" b="0" i="0">
                  <a:latin typeface="Cambria Math" panose="02040503050406030204" pitchFamily="18" charset="0"/>
                </a:rPr>
                <a:t>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ID" sz="2400" b="0" i="0">
                  <a:latin typeface="Cambria Math" panose="02040503050406030204" pitchFamily="18" charset="0"/>
                </a:rPr>
                <a:t> )</a:t>
              </a:r>
              <a:endParaRPr lang="en-ID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4AC1-9ABD-410C-A102-9416CE961EC1}">
  <dimension ref="B5:G37"/>
  <sheetViews>
    <sheetView tabSelected="1" topLeftCell="B1" workbookViewId="0">
      <selection activeCell="N15" sqref="N15"/>
    </sheetView>
  </sheetViews>
  <sheetFormatPr defaultRowHeight="15" x14ac:dyDescent="0.25"/>
  <cols>
    <col min="2" max="2" width="23" customWidth="1"/>
    <col min="3" max="3" width="12.7109375" customWidth="1"/>
    <col min="4" max="4" width="13.85546875" customWidth="1"/>
    <col min="5" max="5" width="14.42578125" customWidth="1"/>
    <col min="6" max="6" width="13" customWidth="1"/>
    <col min="7" max="7" width="11" customWidth="1"/>
  </cols>
  <sheetData>
    <row r="5" spans="2:7" x14ac:dyDescent="0.25">
      <c r="B5" s="2" t="s">
        <v>0</v>
      </c>
      <c r="C5" s="4" t="s">
        <v>11</v>
      </c>
      <c r="D5" s="5"/>
      <c r="E5" s="5"/>
      <c r="F5" s="5"/>
      <c r="G5" s="6"/>
    </row>
    <row r="6" spans="2:7" x14ac:dyDescent="0.25">
      <c r="B6" s="2" t="s">
        <v>1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2:7" x14ac:dyDescent="0.25">
      <c r="B7" s="2" t="s">
        <v>2</v>
      </c>
      <c r="C7" s="2">
        <v>150</v>
      </c>
      <c r="D7" s="2">
        <v>15</v>
      </c>
      <c r="E7" s="2">
        <v>2</v>
      </c>
      <c r="F7" s="2">
        <v>2</v>
      </c>
      <c r="G7" s="2">
        <v>3</v>
      </c>
    </row>
    <row r="8" spans="2:7" x14ac:dyDescent="0.25">
      <c r="B8" s="2" t="s">
        <v>3</v>
      </c>
      <c r="C8" s="2">
        <v>500</v>
      </c>
      <c r="D8" s="2">
        <v>200</v>
      </c>
      <c r="E8" s="2">
        <v>2</v>
      </c>
      <c r="F8" s="2">
        <v>3</v>
      </c>
      <c r="G8" s="2">
        <v>2</v>
      </c>
    </row>
    <row r="9" spans="2:7" x14ac:dyDescent="0.25">
      <c r="B9" s="2" t="s">
        <v>4</v>
      </c>
      <c r="C9" s="2">
        <v>200</v>
      </c>
      <c r="D9" s="2">
        <v>10</v>
      </c>
      <c r="E9" s="2">
        <v>3</v>
      </c>
      <c r="F9" s="2">
        <v>1</v>
      </c>
      <c r="G9" s="2">
        <v>3</v>
      </c>
    </row>
    <row r="10" spans="2:7" x14ac:dyDescent="0.25">
      <c r="B10" s="2" t="s">
        <v>5</v>
      </c>
      <c r="C10" s="2">
        <v>350</v>
      </c>
      <c r="D10" s="2">
        <v>100</v>
      </c>
      <c r="E10" s="2">
        <v>3</v>
      </c>
      <c r="F10" s="2">
        <v>1</v>
      </c>
      <c r="G10" s="2">
        <v>2</v>
      </c>
    </row>
    <row r="11" spans="2:7" x14ac:dyDescent="0.25">
      <c r="B11" s="2" t="s">
        <v>12</v>
      </c>
      <c r="C11" s="2" t="s">
        <v>13</v>
      </c>
      <c r="D11" s="2" t="s">
        <v>14</v>
      </c>
      <c r="E11" s="2" t="s">
        <v>14</v>
      </c>
      <c r="F11" s="2" t="s">
        <v>13</v>
      </c>
      <c r="G11" s="2" t="s">
        <v>14</v>
      </c>
    </row>
    <row r="13" spans="2:7" x14ac:dyDescent="0.25">
      <c r="B13" s="2" t="s">
        <v>15</v>
      </c>
      <c r="C13" s="1">
        <f>SQRT((C7^2)+(C8^2)+(C9^2)+(C10^2))</f>
        <v>659.54529791364598</v>
      </c>
      <c r="D13" s="1">
        <f t="shared" ref="D13:G13" si="0">SQRT((D7^2)+(D8^2)+(D9^2)+(D10^2))</f>
        <v>224.33234274174555</v>
      </c>
      <c r="E13" s="1">
        <f t="shared" si="0"/>
        <v>5.0990195135927845</v>
      </c>
      <c r="F13" s="1">
        <f t="shared" si="0"/>
        <v>3.872983346207417</v>
      </c>
      <c r="G13" s="1">
        <f t="shared" si="0"/>
        <v>5.0990195135927845</v>
      </c>
    </row>
    <row r="15" spans="2:7" x14ac:dyDescent="0.25">
      <c r="C15" s="1">
        <f>C7/$C$13</f>
        <v>0.22742941307367101</v>
      </c>
      <c r="D15" s="1">
        <f>D7/$D$13</f>
        <v>6.686507980379898E-2</v>
      </c>
      <c r="E15" s="1">
        <f>E7/$E$13</f>
        <v>0.39223227027636809</v>
      </c>
      <c r="F15" s="1">
        <f>F7/$F$13</f>
        <v>0.5163977794943222</v>
      </c>
      <c r="G15" s="1">
        <f>G7/$G$13</f>
        <v>0.58834840541455213</v>
      </c>
    </row>
    <row r="16" spans="2:7" x14ac:dyDescent="0.25">
      <c r="C16" s="1">
        <f t="shared" ref="C16:C18" si="1">C8/$C$13</f>
        <v>0.75809804357890342</v>
      </c>
      <c r="D16" s="1">
        <f t="shared" ref="D16:D18" si="2">D8/$D$13</f>
        <v>0.89153439738398632</v>
      </c>
      <c r="E16" s="1">
        <f t="shared" ref="E16:E18" si="3">E8/$E$13</f>
        <v>0.39223227027636809</v>
      </c>
      <c r="F16" s="1">
        <f t="shared" ref="F16:F18" si="4">F8/$F$13</f>
        <v>0.7745966692414834</v>
      </c>
      <c r="G16" s="1">
        <f t="shared" ref="G16:G18" si="5">G8/$G$13</f>
        <v>0.39223227027636809</v>
      </c>
    </row>
    <row r="17" spans="2:7" x14ac:dyDescent="0.25">
      <c r="C17" s="1">
        <f t="shared" si="1"/>
        <v>0.30323921743156135</v>
      </c>
      <c r="D17" s="1">
        <f t="shared" si="2"/>
        <v>4.4576719869199317E-2</v>
      </c>
      <c r="E17" s="1">
        <f t="shared" si="3"/>
        <v>0.58834840541455213</v>
      </c>
      <c r="F17" s="1">
        <f t="shared" si="4"/>
        <v>0.2581988897471611</v>
      </c>
      <c r="G17" s="1">
        <f t="shared" si="5"/>
        <v>0.58834840541455213</v>
      </c>
    </row>
    <row r="18" spans="2:7" x14ac:dyDescent="0.25">
      <c r="C18" s="1">
        <f t="shared" si="1"/>
        <v>0.53066863050523239</v>
      </c>
      <c r="D18" s="1">
        <f t="shared" si="2"/>
        <v>0.44576719869199316</v>
      </c>
      <c r="E18" s="1">
        <f t="shared" si="3"/>
        <v>0.58834840541455213</v>
      </c>
      <c r="F18" s="1">
        <f t="shared" si="4"/>
        <v>0.2581988897471611</v>
      </c>
      <c r="G18" s="1">
        <f t="shared" si="5"/>
        <v>0.39223227027636809</v>
      </c>
    </row>
    <row r="20" spans="2:7" x14ac:dyDescent="0.25">
      <c r="B20" s="1" t="s">
        <v>16</v>
      </c>
      <c r="C20" s="1">
        <f>25/100</f>
        <v>0.25</v>
      </c>
      <c r="D20" s="1">
        <f>15/100</f>
        <v>0.15</v>
      </c>
      <c r="E20" s="1">
        <f>30/100</f>
        <v>0.3</v>
      </c>
      <c r="F20" s="1">
        <f>25/100</f>
        <v>0.25</v>
      </c>
      <c r="G20" s="1">
        <f>5/100</f>
        <v>0.05</v>
      </c>
    </row>
    <row r="22" spans="2:7" x14ac:dyDescent="0.25">
      <c r="B22" s="7" t="s">
        <v>17</v>
      </c>
      <c r="C22" s="1">
        <f>C15*$C$20</f>
        <v>5.6857353268417753E-2</v>
      </c>
      <c r="D22" s="1">
        <f>D15*$D$20</f>
        <v>1.0029761970569847E-2</v>
      </c>
      <c r="E22" s="1">
        <f>E15*$E$20</f>
        <v>0.11766968108291043</v>
      </c>
      <c r="F22" s="1">
        <f>F15*$F$20</f>
        <v>0.12909944487358055</v>
      </c>
      <c r="G22" s="1">
        <f>G15*$G$20</f>
        <v>2.9417420270727607E-2</v>
      </c>
    </row>
    <row r="23" spans="2:7" x14ac:dyDescent="0.25">
      <c r="B23" s="8"/>
      <c r="C23" s="1">
        <f t="shared" ref="C23:C25" si="6">C16*$C$20</f>
        <v>0.18952451089472586</v>
      </c>
      <c r="D23" s="1">
        <f t="shared" ref="D23:D25" si="7">D16*$D$20</f>
        <v>0.13373015960759793</v>
      </c>
      <c r="E23" s="1">
        <f t="shared" ref="E23:E25" si="8">E16*$E$20</f>
        <v>0.11766968108291043</v>
      </c>
      <c r="F23" s="1">
        <f t="shared" ref="F23:F25" si="9">F16*$F$20</f>
        <v>0.19364916731037085</v>
      </c>
      <c r="G23" s="1">
        <f t="shared" ref="G23:G25" si="10">G16*$G$20</f>
        <v>1.9611613513818404E-2</v>
      </c>
    </row>
    <row r="24" spans="2:7" x14ac:dyDescent="0.25">
      <c r="B24" s="8"/>
      <c r="C24" s="1">
        <f t="shared" si="6"/>
        <v>7.5809804357890337E-2</v>
      </c>
      <c r="D24" s="1">
        <f t="shared" si="7"/>
        <v>6.6865079803798974E-3</v>
      </c>
      <c r="E24" s="1">
        <f t="shared" si="8"/>
        <v>0.17650452162436564</v>
      </c>
      <c r="F24" s="1">
        <f t="shared" si="9"/>
        <v>6.4549722436790274E-2</v>
      </c>
      <c r="G24" s="1">
        <f t="shared" si="10"/>
        <v>2.9417420270727607E-2</v>
      </c>
    </row>
    <row r="25" spans="2:7" x14ac:dyDescent="0.25">
      <c r="B25" s="9"/>
      <c r="C25" s="1">
        <f t="shared" si="6"/>
        <v>0.1326671576263081</v>
      </c>
      <c r="D25" s="1">
        <f t="shared" si="7"/>
        <v>6.6865079803798966E-2</v>
      </c>
      <c r="E25" s="1">
        <f t="shared" si="8"/>
        <v>0.17650452162436564</v>
      </c>
      <c r="F25" s="1">
        <f t="shared" si="9"/>
        <v>6.4549722436790274E-2</v>
      </c>
      <c r="G25" s="1">
        <f t="shared" si="10"/>
        <v>1.9611613513818404E-2</v>
      </c>
    </row>
    <row r="27" spans="2:7" x14ac:dyDescent="0.25">
      <c r="B27" s="3" t="s">
        <v>0</v>
      </c>
      <c r="C27" s="3" t="s">
        <v>18</v>
      </c>
      <c r="D27" s="3" t="s">
        <v>19</v>
      </c>
      <c r="E27" s="3" t="s">
        <v>20</v>
      </c>
      <c r="F27" s="3" t="s">
        <v>21</v>
      </c>
    </row>
    <row r="28" spans="2:7" x14ac:dyDescent="0.25">
      <c r="B28" s="3" t="s">
        <v>1</v>
      </c>
      <c r="C28" s="1">
        <f>D22+E22+G22</f>
        <v>0.15711686332420788</v>
      </c>
      <c r="D28" s="1">
        <f>C22+F22</f>
        <v>0.18595679814199831</v>
      </c>
      <c r="E28" s="1">
        <f>C28-D28</f>
        <v>-2.883993481779043E-2</v>
      </c>
      <c r="F28" s="1">
        <f>RANK(E28,$E$28:$E$31,0)</f>
        <v>3</v>
      </c>
    </row>
    <row r="29" spans="2:7" x14ac:dyDescent="0.25">
      <c r="B29" s="3" t="s">
        <v>2</v>
      </c>
      <c r="C29" s="1">
        <f t="shared" ref="C29:C31" si="11">D23+E23+G23</f>
        <v>0.27101145420432676</v>
      </c>
      <c r="D29" s="1">
        <f t="shared" ref="D29:D31" si="12">C23+F23</f>
        <v>0.38317367820509673</v>
      </c>
      <c r="E29" s="1">
        <f t="shared" ref="E29:E31" si="13">C29-D29</f>
        <v>-0.11216222400076997</v>
      </c>
      <c r="F29" s="1">
        <f t="shared" ref="F29:F31" si="14">RANK(E29,$E$28:$E$31,0)</f>
        <v>4</v>
      </c>
    </row>
    <row r="30" spans="2:7" x14ac:dyDescent="0.25">
      <c r="B30" s="3" t="s">
        <v>3</v>
      </c>
      <c r="C30" s="1">
        <f t="shared" si="11"/>
        <v>0.21260844987547314</v>
      </c>
      <c r="D30" s="1">
        <f t="shared" si="12"/>
        <v>0.14035952679468061</v>
      </c>
      <c r="E30" s="1">
        <f t="shared" si="13"/>
        <v>7.2248923080792532E-2</v>
      </c>
      <c r="F30" s="1">
        <f t="shared" si="14"/>
        <v>1</v>
      </c>
    </row>
    <row r="31" spans="2:7" x14ac:dyDescent="0.25">
      <c r="B31" s="3" t="s">
        <v>4</v>
      </c>
      <c r="C31" s="1">
        <f t="shared" si="11"/>
        <v>0.26298121494198301</v>
      </c>
      <c r="D31" s="1">
        <f t="shared" si="12"/>
        <v>0.19721688006309837</v>
      </c>
      <c r="E31" s="1">
        <f t="shared" si="13"/>
        <v>6.5764334878884639E-2</v>
      </c>
      <c r="F31" s="1">
        <f t="shared" si="14"/>
        <v>2</v>
      </c>
    </row>
    <row r="33" spans="2:6" x14ac:dyDescent="0.25">
      <c r="B33" s="3" t="s">
        <v>0</v>
      </c>
      <c r="C33" s="1" t="s">
        <v>18</v>
      </c>
      <c r="D33" s="1" t="s">
        <v>19</v>
      </c>
      <c r="E33" s="1" t="s">
        <v>20</v>
      </c>
      <c r="F33" s="1" t="s">
        <v>21</v>
      </c>
    </row>
    <row r="34" spans="2:6" x14ac:dyDescent="0.25">
      <c r="B34" s="3" t="s">
        <v>1</v>
      </c>
      <c r="C34" s="1">
        <f>(IF($C$11="MAX",C22,0))+(IF($D$11="MAX",D22,0))+(IF($E$11="MAX",E22,0))+(IF($F$11="MAX",F22,0))+(IF($G$11="MAX",G22,0))</f>
        <v>0.15711686332420788</v>
      </c>
      <c r="D34" s="1">
        <f>(IF($C$11="MIN",C22,0))+(IF($D$11="MIN",D22,0))+(IF($E$11="MIN",E22,0))+(IF($F$11="MIN",F22,0))+(IF($G$11="MIN",G22,0))</f>
        <v>0.18595679814199831</v>
      </c>
      <c r="E34" s="1">
        <f>C34-D34</f>
        <v>-2.883993481779043E-2</v>
      </c>
      <c r="F34" s="1">
        <f>RANK(E34,$E$34:$E$37,0)</f>
        <v>3</v>
      </c>
    </row>
    <row r="35" spans="2:6" x14ac:dyDescent="0.25">
      <c r="B35" s="3" t="s">
        <v>2</v>
      </c>
      <c r="C35" s="1">
        <f t="shared" ref="C35:C37" si="15">(IF($C$11="MAX",C23,0))+(IF($D$11="MAX",D23,0))+(IF($E$11="MAX",E23,0))+(IF($F$11="MAX",F23,0))+(IF($G$11="MAX",G23,0))</f>
        <v>0.27101145420432676</v>
      </c>
      <c r="D35" s="1">
        <f t="shared" ref="D35:D37" si="16">(IF($C$11="MIN",C23,0))+(IF($D$11="MIN",D23,0))+(IF($E$11="MIN",E23,0))+(IF($F$11="MIN",F23,0))+(IF($G$11="MIN",G23,0))</f>
        <v>0.38317367820509673</v>
      </c>
      <c r="E35" s="1">
        <f t="shared" ref="E35:E37" si="17">C35-D35</f>
        <v>-0.11216222400076997</v>
      </c>
      <c r="F35" s="1">
        <f t="shared" ref="F35:F37" si="18">RANK(E35,$E$34:$E$37,0)</f>
        <v>4</v>
      </c>
    </row>
    <row r="36" spans="2:6" x14ac:dyDescent="0.25">
      <c r="B36" s="3" t="s">
        <v>3</v>
      </c>
      <c r="C36" s="1">
        <f t="shared" si="15"/>
        <v>0.21260844987547314</v>
      </c>
      <c r="D36" s="1">
        <f t="shared" si="16"/>
        <v>0.14035952679468061</v>
      </c>
      <c r="E36" s="1">
        <f t="shared" si="17"/>
        <v>7.2248923080792532E-2</v>
      </c>
      <c r="F36" s="1">
        <f t="shared" si="18"/>
        <v>1</v>
      </c>
    </row>
    <row r="37" spans="2:6" x14ac:dyDescent="0.25">
      <c r="B37" s="3" t="s">
        <v>4</v>
      </c>
      <c r="C37" s="1">
        <f t="shared" si="15"/>
        <v>0.26298121494198301</v>
      </c>
      <c r="D37" s="1">
        <f t="shared" si="16"/>
        <v>0.19721688006309837</v>
      </c>
      <c r="E37" s="1">
        <f t="shared" si="17"/>
        <v>6.5764334878884639E-2</v>
      </c>
      <c r="F37" s="1">
        <f t="shared" si="18"/>
        <v>2</v>
      </c>
    </row>
  </sheetData>
  <mergeCells count="2">
    <mergeCell ref="C5:G5"/>
    <mergeCell ref="B22:B25"/>
  </mergeCells>
  <phoneticPr fontId="1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C8989-6FD7-4F9F-94FA-FC076B1C4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 4</dc:creator>
  <cp:lastModifiedBy>Findi Riani</cp:lastModifiedBy>
  <dcterms:created xsi:type="dcterms:W3CDTF">2024-10-06T01:48:40Z</dcterms:created>
  <dcterms:modified xsi:type="dcterms:W3CDTF">2024-10-06T08:12:19Z</dcterms:modified>
</cp:coreProperties>
</file>